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definedNames>
    <definedName function="false" hidden="false" localSheetId="0" name="_xlnm.Print_Titles" vbProcedure="false">Смета!$11:$11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<sst xmlns="http://schemas.openxmlformats.org/spreadsheetml/2006/main" count="67" uniqueCount="66">
  <si>
    <t xml:space="preserve">«Ғылым және білім эндаумент-қоры» корпоративтік нысаналы капитал қоры</t>
  </si>
  <si>
    <t xml:space="preserve">ЖОБА ШЫҒЫСТАРЫНЫҢ СМЕТАСЫ</t>
  </si>
  <si>
    <t xml:space="preserve">Өтініш беруші</t>
  </si>
  <si>
    <t xml:space="preserve">Жобаның атауы</t>
  </si>
  <si>
    <t xml:space="preserve">Қор бағдарламасы</t>
  </si>
  <si>
    <t xml:space="preserve">Іске асыру мерзімі</t>
  </si>
  <si>
    <t xml:space="preserve">Сары ұяшықтарды толтырыңыз. Сомалар автоматты түрде есептеледі. Мысал жолын өз деректеріңізбен ауыстырыңыз; қажет болса, бап ішіне жол қосыңыз.</t>
  </si>
  <si>
    <t xml:space="preserve">№</t>
  </si>
  <si>
    <t xml:space="preserve">Шығыс бабы</t>
  </si>
  <si>
    <t xml:space="preserve">Өлш. бірл.</t>
  </si>
  <si>
    <t xml:space="preserve">Саны</t>
  </si>
  <si>
    <t xml:space="preserve">Бірлік бағасы, ₸</t>
  </si>
  <si>
    <t xml:space="preserve">Сомасы, ₸</t>
  </si>
  <si>
    <t xml:space="preserve">Қор қаражаты, ₸</t>
  </si>
  <si>
    <t xml:space="preserve">Қоса қаржыландыру, ₸</t>
  </si>
  <si>
    <t xml:space="preserve">Негіздеме</t>
  </si>
  <si>
    <t xml:space="preserve">Жоба қатысушыларының еңбекақысы (салықтар мен міндетті төлемдерді қоса)</t>
  </si>
  <si>
    <t xml:space="preserve">1.1</t>
  </si>
  <si>
    <t xml:space="preserve">Мысалы: жоба жетекшісі, 0,5 ставка</t>
  </si>
  <si>
    <t xml:space="preserve">ай</t>
  </si>
  <si>
    <t xml:space="preserve">Ұйым бойынша орташа ставка</t>
  </si>
  <si>
    <t xml:space="preserve">1.2</t>
  </si>
  <si>
    <t xml:space="preserve">1.3</t>
  </si>
  <si>
    <t xml:space="preserve">Жабдықтар, аспаптар, бағдарламалық қамтамасыз ету</t>
  </si>
  <si>
    <t xml:space="preserve">2.1</t>
  </si>
  <si>
    <t xml:space="preserve">2.2</t>
  </si>
  <si>
    <t xml:space="preserve">2.3</t>
  </si>
  <si>
    <t xml:space="preserve">Материалдар, реактивтер, жинақтауыштар</t>
  </si>
  <si>
    <t xml:space="preserve">3.1</t>
  </si>
  <si>
    <t xml:space="preserve">3.2</t>
  </si>
  <si>
    <t xml:space="preserve">3.3</t>
  </si>
  <si>
    <t xml:space="preserve">Бөгде ұйымдардың қызметтері (зертханалық, талдамалық, аударма және т.б.)</t>
  </si>
  <si>
    <t xml:space="preserve">4.1</t>
  </si>
  <si>
    <t xml:space="preserve">4.2</t>
  </si>
  <si>
    <t xml:space="preserve">4.3</t>
  </si>
  <si>
    <t xml:space="preserve">Далалық жұмыстар, экспедициялар, деректер жинау</t>
  </si>
  <si>
    <t xml:space="preserve">5.1</t>
  </si>
  <si>
    <t xml:space="preserve">5.2</t>
  </si>
  <si>
    <t xml:space="preserve">5.3</t>
  </si>
  <si>
    <t xml:space="preserve">Іссапарлар, тағылымдамалар, іс-шараларға қатысу</t>
  </si>
  <si>
    <t xml:space="preserve">6.1</t>
  </si>
  <si>
    <t xml:space="preserve">6.2</t>
  </si>
  <si>
    <t xml:space="preserve">6.3</t>
  </si>
  <si>
    <t xml:space="preserve">Жарияланымдар, ашық қолжетімділік, нәтижелерді тарату</t>
  </si>
  <si>
    <t xml:space="preserve">7.1</t>
  </si>
  <si>
    <t xml:space="preserve">7.2</t>
  </si>
  <si>
    <t xml:space="preserve">7.3</t>
  </si>
  <si>
    <t xml:space="preserve">Нәтижелерді құқықтық қорғау, рұқсаттар, сараптамалар</t>
  </si>
  <si>
    <t xml:space="preserve">8.1</t>
  </si>
  <si>
    <t xml:space="preserve">8.2</t>
  </si>
  <si>
    <t xml:space="preserve">8.3</t>
  </si>
  <si>
    <t xml:space="preserve">Үстеме шығыстар (негізделген, 10%-дан аспайды)</t>
  </si>
  <si>
    <t xml:space="preserve">9.1</t>
  </si>
  <si>
    <t xml:space="preserve">9.2</t>
  </si>
  <si>
    <t xml:space="preserve">9.3</t>
  </si>
  <si>
    <t xml:space="preserve">Өзге тікелей шығыстар</t>
  </si>
  <si>
    <t xml:space="preserve">10.1</t>
  </si>
  <si>
    <t xml:space="preserve">10.2</t>
  </si>
  <si>
    <t xml:space="preserve">10.3</t>
  </si>
  <si>
    <t xml:space="preserve">ЖОБА БОЙЫНША ЖИЫНЫ</t>
  </si>
  <si>
    <t xml:space="preserve">Қор қаражатының үлесі</t>
  </si>
  <si>
    <t xml:space="preserve">________________________</t>
  </si>
  <si>
    <t xml:space="preserve">__________________</t>
  </si>
  <si>
    <t xml:space="preserve">Қолы</t>
  </si>
  <si>
    <t xml:space="preserve">Т.А.Ә.</t>
  </si>
  <si>
    <t xml:space="preserve">Күні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</si>
</sst>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6E3FA3"/>
      <name val="Arial"/>
      <family val="0"/>
      <charset val="1"/>
    </font>
    <font>
      <b val="true"/>
      <sz val="16"/>
      <color rgb="FF2B005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A748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B005B"/>
      <name val="Arial"/>
      <family val="0"/>
      <charset val="1"/>
    </font>
    <font>
      <sz val="10"/>
      <color rgb="FF7A7486"/>
      <name val="Arial"/>
      <family val="0"/>
      <charset val="1"/>
    </font>
    <font>
      <i val="true"/>
      <sz val="10"/>
      <color rgb="FF7A748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B005B"/>
      <name val="Arial"/>
      <family val="0"/>
      <charset val="1"/>
    </font>
    <font>
      <sz val="8"/>
      <color rgb="FF7A748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D5"/>
        <bgColor rgb="FFFFFFFF"/>
      </patternFill>
    </fill>
    <fill>
      <patternFill patternType="solid">
        <fgColor rgb="FF2B005B"/>
        <bgColor rgb="FF000080"/>
      </patternFill>
    </fill>
    <fill>
      <patternFill patternType="solid">
        <fgColor rgb="FFEFEAF6"/>
        <bgColor rgb="FFFFF6D5"/>
      </patternFill>
    </fill>
    <fill>
      <patternFill patternType="solid">
        <fgColor rgb="FFD6A86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8DA"/>
      </left>
      <right style="thin">
        <color rgb="FFCFC8DA"/>
      </right>
      <top style="thin">
        <color rgb="FFCFC8DA"/>
      </top>
      <bottom style="thin">
        <color rgb="FFCFC8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B005B"/>
      <rgbColor rgb="FF808000"/>
      <rgbColor rgb="FF800080"/>
      <rgbColor rgb="FF008080"/>
      <rgbColor rgb="FFD6A86A"/>
      <rgbColor rgb="FF7A7486"/>
      <rgbColor rgb="FF9999FF"/>
      <rgbColor rgb="FF993366"/>
      <rgbColor rgb="FFFFF6D5"/>
      <rgbColor rgb="FFEFEAF6"/>
      <rgbColor rgb="FF660066"/>
      <rgbColor rgb="FFFF8080"/>
      <rgbColor rgb="FF0066CC"/>
      <rgbColor rgb="FFCFC8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3FA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7" min="6" style="0" width="17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3" t="s">
        <v>3</v>
      </c>
      <c r="B5" s="3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3" t="s">
        <v>4</v>
      </c>
      <c r="B6" s="3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3" t="s">
        <v>5</v>
      </c>
      <c r="B7" s="3"/>
      <c r="C7" s="4"/>
      <c r="D7" s="4"/>
      <c r="E7" s="4"/>
      <c r="F7" s="4"/>
      <c r="G7" s="4"/>
      <c r="H7" s="4"/>
      <c r="I7" s="4"/>
    </row>
    <row r="9" customFormat="false" ht="27.7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</row>
    <row r="11" customFormat="false" ht="31.5" hidden="false" customHeight="true" outlineLevel="0" collapsed="false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</row>
    <row r="12" customFormat="false" ht="23.85" hidden="false" customHeight="false" outlineLevel="0" collapsed="false">
      <c r="A12" s="7" t="n">
        <v>1</v>
      </c>
      <c r="B12" s="8" t="s">
        <v>16</v>
      </c>
      <c r="C12" s="9"/>
      <c r="D12" s="9"/>
      <c r="E12" s="9"/>
      <c r="F12" s="10" t="n">
        <f aca="false">SUM(F13:F15)</f>
        <v>5400000</v>
      </c>
      <c r="G12" s="10" t="n">
        <f aca="false">SUM(G13:G15)</f>
        <v>5400000</v>
      </c>
      <c r="H12" s="10" t="n">
        <f aca="false">SUM(H13:H15)</f>
        <v>0</v>
      </c>
      <c r="I12" s="9"/>
    </row>
    <row r="13" customFormat="false" ht="15" hidden="false" customHeight="false" outlineLevel="0" collapsed="false">
      <c r="A13" s="11" t="s">
        <v>17</v>
      </c>
      <c r="B13" s="12" t="s">
        <v>18</v>
      </c>
      <c r="C13" s="13" t="s">
        <v>19</v>
      </c>
      <c r="D13" s="13" t="n">
        <v>12</v>
      </c>
      <c r="E13" s="14" t="n">
        <v>450000</v>
      </c>
      <c r="F13" s="15" t="n">
        <f aca="false">IF(AND(D13&lt;&gt;"",E13&lt;&gt;""),D13*E13,0)</f>
        <v>5400000</v>
      </c>
      <c r="G13" s="14" t="n">
        <f aca="false">F13</f>
        <v>5400000</v>
      </c>
      <c r="H13" s="15" t="n">
        <f aca="false">F13-G13</f>
        <v>0</v>
      </c>
      <c r="I13" s="12" t="s">
        <v>20</v>
      </c>
    </row>
    <row r="14" customFormat="false" ht="15" hidden="false" customHeight="false" outlineLevel="0" collapsed="false">
      <c r="A14" s="11" t="s">
        <v>21</v>
      </c>
      <c r="B14" s="16"/>
      <c r="C14" s="17"/>
      <c r="D14" s="17"/>
      <c r="E14" s="18"/>
      <c r="F14" s="15" t="n">
        <f aca="false">IF(AND(D14&lt;&gt;"",E14&lt;&gt;""),D14*E14,0)</f>
        <v>0</v>
      </c>
      <c r="G14" s="18"/>
      <c r="H14" s="15" t="n">
        <f aca="false">F14-G14</f>
        <v>0</v>
      </c>
      <c r="I14" s="16"/>
    </row>
    <row r="15" customFormat="false" ht="15" hidden="false" customHeight="false" outlineLevel="0" collapsed="false">
      <c r="A15" s="11" t="s">
        <v>22</v>
      </c>
      <c r="B15" s="16"/>
      <c r="C15" s="17"/>
      <c r="D15" s="17"/>
      <c r="E15" s="18"/>
      <c r="F15" s="15" t="n">
        <f aca="false">IF(AND(D15&lt;&gt;"",E15&lt;&gt;""),D15*E15,0)</f>
        <v>0</v>
      </c>
      <c r="G15" s="18"/>
      <c r="H15" s="15" t="n">
        <f aca="false">F15-G15</f>
        <v>0</v>
      </c>
      <c r="I15" s="16"/>
    </row>
    <row r="16" customFormat="false" ht="15" hidden="false" customHeight="false" outlineLevel="0" collapsed="false">
      <c r="A16" s="7" t="n">
        <v>2</v>
      </c>
      <c r="B16" s="8" t="s">
        <v>23</v>
      </c>
      <c r="C16" s="9"/>
      <c r="D16" s="9"/>
      <c r="E16" s="9"/>
      <c r="F16" s="10" t="n">
        <f aca="false">SUM(F17:F19)</f>
        <v>0</v>
      </c>
      <c r="G16" s="10" t="n">
        <f aca="false">SUM(G17:G19)</f>
        <v>0</v>
      </c>
      <c r="H16" s="10" t="n">
        <f aca="false">SUM(H17:H19)</f>
        <v>0</v>
      </c>
      <c r="I16" s="9"/>
    </row>
    <row r="17" customFormat="false" ht="15" hidden="false" customHeight="false" outlineLevel="0" collapsed="false">
      <c r="A17" s="11" t="s">
        <v>24</v>
      </c>
      <c r="B17" s="16"/>
      <c r="C17" s="17"/>
      <c r="D17" s="17"/>
      <c r="E17" s="18"/>
      <c r="F17" s="15" t="n">
        <f aca="false">IF(AND(D17&lt;&gt;"",E17&lt;&gt;""),D17*E17,0)</f>
        <v>0</v>
      </c>
      <c r="G17" s="18"/>
      <c r="H17" s="15" t="n">
        <f aca="false">F17-G17</f>
        <v>0</v>
      </c>
      <c r="I17" s="16"/>
    </row>
    <row r="18" customFormat="false" ht="15" hidden="false" customHeight="false" outlineLevel="0" collapsed="false">
      <c r="A18" s="11" t="s">
        <v>25</v>
      </c>
      <c r="B18" s="16"/>
      <c r="C18" s="17"/>
      <c r="D18" s="17"/>
      <c r="E18" s="18"/>
      <c r="F18" s="15" t="n">
        <f aca="false">IF(AND(D18&lt;&gt;"",E18&lt;&gt;""),D18*E18,0)</f>
        <v>0</v>
      </c>
      <c r="G18" s="18"/>
      <c r="H18" s="15" t="n">
        <f aca="false">F18-G18</f>
        <v>0</v>
      </c>
      <c r="I18" s="16"/>
    </row>
    <row r="19" customFormat="false" ht="15" hidden="false" customHeight="false" outlineLevel="0" collapsed="false">
      <c r="A19" s="11" t="s">
        <v>26</v>
      </c>
      <c r="B19" s="16"/>
      <c r="C19" s="17"/>
      <c r="D19" s="17"/>
      <c r="E19" s="18"/>
      <c r="F19" s="15" t="n">
        <f aca="false">IF(AND(D19&lt;&gt;"",E19&lt;&gt;""),D19*E19,0)</f>
        <v>0</v>
      </c>
      <c r="G19" s="18"/>
      <c r="H19" s="15" t="n">
        <f aca="false">F19-G19</f>
        <v>0</v>
      </c>
      <c r="I19" s="16"/>
    </row>
    <row r="20" customFormat="false" ht="15" hidden="false" customHeight="false" outlineLevel="0" collapsed="false">
      <c r="A20" s="7" t="n">
        <v>3</v>
      </c>
      <c r="B20" s="8" t="s">
        <v>27</v>
      </c>
      <c r="C20" s="9"/>
      <c r="D20" s="9"/>
      <c r="E20" s="9"/>
      <c r="F20" s="10" t="n">
        <f aca="false">SUM(F21:F23)</f>
        <v>0</v>
      </c>
      <c r="G20" s="10" t="n">
        <f aca="false">SUM(G21:G23)</f>
        <v>0</v>
      </c>
      <c r="H20" s="10" t="n">
        <f aca="false">SUM(H21:H23)</f>
        <v>0</v>
      </c>
      <c r="I20" s="9"/>
    </row>
    <row r="21" customFormat="false" ht="15" hidden="false" customHeight="false" outlineLevel="0" collapsed="false">
      <c r="A21" s="11" t="s">
        <v>28</v>
      </c>
      <c r="B21" s="16"/>
      <c r="C21" s="17"/>
      <c r="D21" s="17"/>
      <c r="E21" s="18"/>
      <c r="F21" s="15" t="n">
        <f aca="false">IF(AND(D21&lt;&gt;"",E21&lt;&gt;""),D21*E21,0)</f>
        <v>0</v>
      </c>
      <c r="G21" s="18"/>
      <c r="H21" s="15" t="n">
        <f aca="false">F21-G21</f>
        <v>0</v>
      </c>
      <c r="I21" s="16"/>
    </row>
    <row r="22" customFormat="false" ht="15" hidden="false" customHeight="false" outlineLevel="0" collapsed="false">
      <c r="A22" s="11" t="s">
        <v>29</v>
      </c>
      <c r="B22" s="16"/>
      <c r="C22" s="17"/>
      <c r="D22" s="17"/>
      <c r="E22" s="18"/>
      <c r="F22" s="15" t="n">
        <f aca="false">IF(AND(D22&lt;&gt;"",E22&lt;&gt;""),D22*E22,0)</f>
        <v>0</v>
      </c>
      <c r="G22" s="18"/>
      <c r="H22" s="15" t="n">
        <f aca="false">F22-G22</f>
        <v>0</v>
      </c>
      <c r="I22" s="16"/>
    </row>
    <row r="23" customFormat="false" ht="15" hidden="false" customHeight="false" outlineLevel="0" collapsed="false">
      <c r="A23" s="11" t="s">
        <v>30</v>
      </c>
      <c r="B23" s="16"/>
      <c r="C23" s="17"/>
      <c r="D23" s="17"/>
      <c r="E23" s="18"/>
      <c r="F23" s="15" t="n">
        <f aca="false">IF(AND(D23&lt;&gt;"",E23&lt;&gt;""),D23*E23,0)</f>
        <v>0</v>
      </c>
      <c r="G23" s="18"/>
      <c r="H23" s="15" t="n">
        <f aca="false">F23-G23</f>
        <v>0</v>
      </c>
      <c r="I23" s="16"/>
    </row>
    <row r="24" customFormat="false" ht="23.85" hidden="false" customHeight="false" outlineLevel="0" collapsed="false">
      <c r="A24" s="7" t="n">
        <v>4</v>
      </c>
      <c r="B24" s="8" t="s">
        <v>31</v>
      </c>
      <c r="C24" s="9"/>
      <c r="D24" s="9"/>
      <c r="E24" s="9"/>
      <c r="F24" s="10" t="n">
        <f aca="false">SUM(F25:F27)</f>
        <v>0</v>
      </c>
      <c r="G24" s="10" t="n">
        <f aca="false">SUM(G25:G27)</f>
        <v>0</v>
      </c>
      <c r="H24" s="10" t="n">
        <f aca="false">SUM(H25:H27)</f>
        <v>0</v>
      </c>
      <c r="I24" s="9"/>
    </row>
    <row r="25" customFormat="false" ht="15" hidden="false" customHeight="false" outlineLevel="0" collapsed="false">
      <c r="A25" s="11" t="s">
        <v>32</v>
      </c>
      <c r="B25" s="16"/>
      <c r="C25" s="17"/>
      <c r="D25" s="17"/>
      <c r="E25" s="18"/>
      <c r="F25" s="15" t="n">
        <f aca="false">IF(AND(D25&lt;&gt;"",E25&lt;&gt;""),D25*E25,0)</f>
        <v>0</v>
      </c>
      <c r="G25" s="18"/>
      <c r="H25" s="15" t="n">
        <f aca="false">F25-G25</f>
        <v>0</v>
      </c>
      <c r="I25" s="16"/>
    </row>
    <row r="26" customFormat="false" ht="15" hidden="false" customHeight="false" outlineLevel="0" collapsed="false">
      <c r="A26" s="11" t="s">
        <v>33</v>
      </c>
      <c r="B26" s="16"/>
      <c r="C26" s="17"/>
      <c r="D26" s="17"/>
      <c r="E26" s="18"/>
      <c r="F26" s="15" t="n">
        <f aca="false">IF(AND(D26&lt;&gt;"",E26&lt;&gt;""),D26*E26,0)</f>
        <v>0</v>
      </c>
      <c r="G26" s="18"/>
      <c r="H26" s="15" t="n">
        <f aca="false">F26-G26</f>
        <v>0</v>
      </c>
      <c r="I26" s="16"/>
    </row>
    <row r="27" customFormat="false" ht="15" hidden="false" customHeight="false" outlineLevel="0" collapsed="false">
      <c r="A27" s="11" t="s">
        <v>34</v>
      </c>
      <c r="B27" s="16"/>
      <c r="C27" s="17"/>
      <c r="D27" s="17"/>
      <c r="E27" s="18"/>
      <c r="F27" s="15" t="n">
        <f aca="false">IF(AND(D27&lt;&gt;"",E27&lt;&gt;""),D27*E27,0)</f>
        <v>0</v>
      </c>
      <c r="G27" s="18"/>
      <c r="H27" s="15" t="n">
        <f aca="false">F27-G27</f>
        <v>0</v>
      </c>
      <c r="I27" s="16"/>
    </row>
    <row r="28" customFormat="false" ht="15" hidden="false" customHeight="false" outlineLevel="0" collapsed="false">
      <c r="A28" s="7" t="n">
        <v>5</v>
      </c>
      <c r="B28" s="8" t="s">
        <v>35</v>
      </c>
      <c r="C28" s="9"/>
      <c r="D28" s="9"/>
      <c r="E28" s="9"/>
      <c r="F28" s="10" t="n">
        <f aca="false">SUM(F29:F31)</f>
        <v>0</v>
      </c>
      <c r="G28" s="10" t="n">
        <f aca="false">SUM(G29:G31)</f>
        <v>0</v>
      </c>
      <c r="H28" s="10" t="n">
        <f aca="false">SUM(H29:H31)</f>
        <v>0</v>
      </c>
      <c r="I28" s="9"/>
    </row>
    <row r="29" customFormat="false" ht="15" hidden="false" customHeight="false" outlineLevel="0" collapsed="false">
      <c r="A29" s="11" t="s">
        <v>36</v>
      </c>
      <c r="B29" s="16"/>
      <c r="C29" s="17"/>
      <c r="D29" s="17"/>
      <c r="E29" s="18"/>
      <c r="F29" s="15" t="n">
        <f aca="false">IF(AND(D29&lt;&gt;"",E29&lt;&gt;""),D29*E29,0)</f>
        <v>0</v>
      </c>
      <c r="G29" s="18"/>
      <c r="H29" s="15" t="n">
        <f aca="false">F29-G29</f>
        <v>0</v>
      </c>
      <c r="I29" s="16"/>
    </row>
    <row r="30" customFormat="false" ht="15" hidden="false" customHeight="false" outlineLevel="0" collapsed="false">
      <c r="A30" s="11" t="s">
        <v>37</v>
      </c>
      <c r="B30" s="16"/>
      <c r="C30" s="17"/>
      <c r="D30" s="17"/>
      <c r="E30" s="18"/>
      <c r="F30" s="15" t="n">
        <f aca="false">IF(AND(D30&lt;&gt;"",E30&lt;&gt;""),D30*E30,0)</f>
        <v>0</v>
      </c>
      <c r="G30" s="18"/>
      <c r="H30" s="15" t="n">
        <f aca="false">F30-G30</f>
        <v>0</v>
      </c>
      <c r="I30" s="16"/>
    </row>
    <row r="31" customFormat="false" ht="15" hidden="false" customHeight="false" outlineLevel="0" collapsed="false">
      <c r="A31" s="11" t="s">
        <v>38</v>
      </c>
      <c r="B31" s="16"/>
      <c r="C31" s="17"/>
      <c r="D31" s="17"/>
      <c r="E31" s="18"/>
      <c r="F31" s="15" t="n">
        <f aca="false">IF(AND(D31&lt;&gt;"",E31&lt;&gt;""),D31*E31,0)</f>
        <v>0</v>
      </c>
      <c r="G31" s="18"/>
      <c r="H31" s="15" t="n">
        <f aca="false">F31-G31</f>
        <v>0</v>
      </c>
      <c r="I31" s="16"/>
    </row>
    <row r="32" customFormat="false" ht="15" hidden="false" customHeight="false" outlineLevel="0" collapsed="false">
      <c r="A32" s="7" t="n">
        <v>6</v>
      </c>
      <c r="B32" s="8" t="s">
        <v>39</v>
      </c>
      <c r="C32" s="9"/>
      <c r="D32" s="9"/>
      <c r="E32" s="9"/>
      <c r="F32" s="10" t="n">
        <f aca="false">SUM(F33:F35)</f>
        <v>0</v>
      </c>
      <c r="G32" s="10" t="n">
        <f aca="false">SUM(G33:G35)</f>
        <v>0</v>
      </c>
      <c r="H32" s="10" t="n">
        <f aca="false">SUM(H33:H35)</f>
        <v>0</v>
      </c>
      <c r="I32" s="9"/>
    </row>
    <row r="33" customFormat="false" ht="15" hidden="false" customHeight="false" outlineLevel="0" collapsed="false">
      <c r="A33" s="11" t="s">
        <v>40</v>
      </c>
      <c r="B33" s="16"/>
      <c r="C33" s="17"/>
      <c r="D33" s="17"/>
      <c r="E33" s="18"/>
      <c r="F33" s="15" t="n">
        <f aca="false">IF(AND(D33&lt;&gt;"",E33&lt;&gt;""),D33*E33,0)</f>
        <v>0</v>
      </c>
      <c r="G33" s="18"/>
      <c r="H33" s="15" t="n">
        <f aca="false">F33-G33</f>
        <v>0</v>
      </c>
      <c r="I33" s="16"/>
    </row>
    <row r="34" customFormat="false" ht="15" hidden="false" customHeight="false" outlineLevel="0" collapsed="false">
      <c r="A34" s="11" t="s">
        <v>41</v>
      </c>
      <c r="B34" s="16"/>
      <c r="C34" s="17"/>
      <c r="D34" s="17"/>
      <c r="E34" s="18"/>
      <c r="F34" s="15" t="n">
        <f aca="false">IF(AND(D34&lt;&gt;"",E34&lt;&gt;""),D34*E34,0)</f>
        <v>0</v>
      </c>
      <c r="G34" s="18"/>
      <c r="H34" s="15" t="n">
        <f aca="false">F34-G34</f>
        <v>0</v>
      </c>
      <c r="I34" s="16"/>
    </row>
    <row r="35" customFormat="false" ht="15" hidden="false" customHeight="false" outlineLevel="0" collapsed="false">
      <c r="A35" s="11" t="s">
        <v>42</v>
      </c>
      <c r="B35" s="16"/>
      <c r="C35" s="17"/>
      <c r="D35" s="17"/>
      <c r="E35" s="18"/>
      <c r="F35" s="15" t="n">
        <f aca="false">IF(AND(D35&lt;&gt;"",E35&lt;&gt;""),D35*E35,0)</f>
        <v>0</v>
      </c>
      <c r="G35" s="18"/>
      <c r="H35" s="15" t="n">
        <f aca="false">F35-G35</f>
        <v>0</v>
      </c>
      <c r="I35" s="16"/>
    </row>
    <row r="36" customFormat="false" ht="23.85" hidden="false" customHeight="false" outlineLevel="0" collapsed="false">
      <c r="A36" s="7" t="n">
        <v>7</v>
      </c>
      <c r="B36" s="8" t="s">
        <v>43</v>
      </c>
      <c r="C36" s="9"/>
      <c r="D36" s="9"/>
      <c r="E36" s="9"/>
      <c r="F36" s="10" t="n">
        <f aca="false">SUM(F37:F39)</f>
        <v>0</v>
      </c>
      <c r="G36" s="10" t="n">
        <f aca="false">SUM(G37:G39)</f>
        <v>0</v>
      </c>
      <c r="H36" s="10" t="n">
        <f aca="false">SUM(H37:H39)</f>
        <v>0</v>
      </c>
      <c r="I36" s="9"/>
    </row>
    <row r="37" customFormat="false" ht="15" hidden="false" customHeight="false" outlineLevel="0" collapsed="false">
      <c r="A37" s="11" t="s">
        <v>44</v>
      </c>
      <c r="B37" s="16"/>
      <c r="C37" s="17"/>
      <c r="D37" s="17"/>
      <c r="E37" s="18"/>
      <c r="F37" s="15" t="n">
        <f aca="false">IF(AND(D37&lt;&gt;"",E37&lt;&gt;""),D37*E37,0)</f>
        <v>0</v>
      </c>
      <c r="G37" s="18"/>
      <c r="H37" s="15" t="n">
        <f aca="false">F37-G37</f>
        <v>0</v>
      </c>
      <c r="I37" s="16"/>
    </row>
    <row r="38" customFormat="false" ht="15" hidden="false" customHeight="false" outlineLevel="0" collapsed="false">
      <c r="A38" s="11" t="s">
        <v>45</v>
      </c>
      <c r="B38" s="16"/>
      <c r="C38" s="17"/>
      <c r="D38" s="17"/>
      <c r="E38" s="18"/>
      <c r="F38" s="15" t="n">
        <f aca="false">IF(AND(D38&lt;&gt;"",E38&lt;&gt;""),D38*E38,0)</f>
        <v>0</v>
      </c>
      <c r="G38" s="18"/>
      <c r="H38" s="15" t="n">
        <f aca="false">F38-G38</f>
        <v>0</v>
      </c>
      <c r="I38" s="16"/>
    </row>
    <row r="39" customFormat="false" ht="15" hidden="false" customHeight="false" outlineLevel="0" collapsed="false">
      <c r="A39" s="11" t="s">
        <v>46</v>
      </c>
      <c r="B39" s="16"/>
      <c r="C39" s="17"/>
      <c r="D39" s="17"/>
      <c r="E39" s="18"/>
      <c r="F39" s="15" t="n">
        <f aca="false">IF(AND(D39&lt;&gt;"",E39&lt;&gt;""),D39*E39,0)</f>
        <v>0</v>
      </c>
      <c r="G39" s="18"/>
      <c r="H39" s="15" t="n">
        <f aca="false">F39-G39</f>
        <v>0</v>
      </c>
      <c r="I39" s="16"/>
    </row>
    <row r="40" customFormat="false" ht="15" hidden="false" customHeight="false" outlineLevel="0" collapsed="false">
      <c r="A40" s="7" t="n">
        <v>8</v>
      </c>
      <c r="B40" s="8" t="s">
        <v>47</v>
      </c>
      <c r="C40" s="9"/>
      <c r="D40" s="9"/>
      <c r="E40" s="9"/>
      <c r="F40" s="10" t="n">
        <f aca="false">SUM(F41:F43)</f>
        <v>0</v>
      </c>
      <c r="G40" s="10" t="n">
        <f aca="false">SUM(G41:G43)</f>
        <v>0</v>
      </c>
      <c r="H40" s="10" t="n">
        <f aca="false">SUM(H41:H43)</f>
        <v>0</v>
      </c>
      <c r="I40" s="9"/>
    </row>
    <row r="41" customFormat="false" ht="15" hidden="false" customHeight="false" outlineLevel="0" collapsed="false">
      <c r="A41" s="11" t="s">
        <v>48</v>
      </c>
      <c r="B41" s="16"/>
      <c r="C41" s="17"/>
      <c r="D41" s="17"/>
      <c r="E41" s="18"/>
      <c r="F41" s="15" t="n">
        <f aca="false">IF(AND(D41&lt;&gt;"",E41&lt;&gt;""),D41*E41,0)</f>
        <v>0</v>
      </c>
      <c r="G41" s="18"/>
      <c r="H41" s="15" t="n">
        <f aca="false">F41-G41</f>
        <v>0</v>
      </c>
      <c r="I41" s="16"/>
    </row>
    <row r="42" customFormat="false" ht="15" hidden="false" customHeight="false" outlineLevel="0" collapsed="false">
      <c r="A42" s="11" t="s">
        <v>49</v>
      </c>
      <c r="B42" s="16"/>
      <c r="C42" s="17"/>
      <c r="D42" s="17"/>
      <c r="E42" s="18"/>
      <c r="F42" s="15" t="n">
        <f aca="false">IF(AND(D42&lt;&gt;"",E42&lt;&gt;""),D42*E42,0)</f>
        <v>0</v>
      </c>
      <c r="G42" s="18"/>
      <c r="H42" s="15" t="n">
        <f aca="false">F42-G42</f>
        <v>0</v>
      </c>
      <c r="I42" s="16"/>
    </row>
    <row r="43" customFormat="false" ht="15" hidden="false" customHeight="false" outlineLevel="0" collapsed="false">
      <c r="A43" s="11" t="s">
        <v>50</v>
      </c>
      <c r="B43" s="16"/>
      <c r="C43" s="17"/>
      <c r="D43" s="17"/>
      <c r="E43" s="18"/>
      <c r="F43" s="15" t="n">
        <f aca="false">IF(AND(D43&lt;&gt;"",E43&lt;&gt;""),D43*E43,0)</f>
        <v>0</v>
      </c>
      <c r="G43" s="18"/>
      <c r="H43" s="15" t="n">
        <f aca="false">F43-G43</f>
        <v>0</v>
      </c>
      <c r="I43" s="16"/>
    </row>
    <row r="44" customFormat="false" ht="15" hidden="false" customHeight="false" outlineLevel="0" collapsed="false">
      <c r="A44" s="7" t="n">
        <v>9</v>
      </c>
      <c r="B44" s="8" t="s">
        <v>51</v>
      </c>
      <c r="C44" s="9"/>
      <c r="D44" s="9"/>
      <c r="E44" s="9"/>
      <c r="F44" s="10" t="n">
        <f aca="false">SUM(F45:F47)</f>
        <v>0</v>
      </c>
      <c r="G44" s="10" t="n">
        <f aca="false">SUM(G45:G47)</f>
        <v>0</v>
      </c>
      <c r="H44" s="10" t="n">
        <f aca="false">SUM(H45:H47)</f>
        <v>0</v>
      </c>
      <c r="I44" s="9"/>
    </row>
    <row r="45" customFormat="false" ht="15" hidden="false" customHeight="false" outlineLevel="0" collapsed="false">
      <c r="A45" s="11" t="s">
        <v>52</v>
      </c>
      <c r="B45" s="16"/>
      <c r="C45" s="17"/>
      <c r="D45" s="17"/>
      <c r="E45" s="18"/>
      <c r="F45" s="15" t="n">
        <f aca="false">IF(AND(D45&lt;&gt;"",E45&lt;&gt;""),D45*E45,0)</f>
        <v>0</v>
      </c>
      <c r="G45" s="18"/>
      <c r="H45" s="15" t="n">
        <f aca="false">F45-G45</f>
        <v>0</v>
      </c>
      <c r="I45" s="16"/>
    </row>
    <row r="46" customFormat="false" ht="15" hidden="false" customHeight="false" outlineLevel="0" collapsed="false">
      <c r="A46" s="11" t="s">
        <v>53</v>
      </c>
      <c r="B46" s="16"/>
      <c r="C46" s="17"/>
      <c r="D46" s="17"/>
      <c r="E46" s="18"/>
      <c r="F46" s="15" t="n">
        <f aca="false">IF(AND(D46&lt;&gt;"",E46&lt;&gt;""),D46*E46,0)</f>
        <v>0</v>
      </c>
      <c r="G46" s="18"/>
      <c r="H46" s="15" t="n">
        <f aca="false">F46-G46</f>
        <v>0</v>
      </c>
      <c r="I46" s="16"/>
    </row>
    <row r="47" customFormat="false" ht="15" hidden="false" customHeight="false" outlineLevel="0" collapsed="false">
      <c r="A47" s="11" t="s">
        <v>54</v>
      </c>
      <c r="B47" s="16"/>
      <c r="C47" s="17"/>
      <c r="D47" s="17"/>
      <c r="E47" s="18"/>
      <c r="F47" s="15" t="n">
        <f aca="false">IF(AND(D47&lt;&gt;"",E47&lt;&gt;""),D47*E47,0)</f>
        <v>0</v>
      </c>
      <c r="G47" s="18"/>
      <c r="H47" s="15" t="n">
        <f aca="false">F47-G47</f>
        <v>0</v>
      </c>
      <c r="I47" s="16"/>
    </row>
    <row r="48" customFormat="false" ht="15" hidden="false" customHeight="false" outlineLevel="0" collapsed="false">
      <c r="A48" s="7" t="n">
        <v>10</v>
      </c>
      <c r="B48" s="8" t="s">
        <v>55</v>
      </c>
      <c r="C48" s="9"/>
      <c r="D48" s="9"/>
      <c r="E48" s="9"/>
      <c r="F48" s="10" t="n">
        <f aca="false">SUM(F49:F51)</f>
        <v>0</v>
      </c>
      <c r="G48" s="10" t="n">
        <f aca="false">SUM(G49:G51)</f>
        <v>0</v>
      </c>
      <c r="H48" s="10" t="n">
        <f aca="false">SUM(H49:H51)</f>
        <v>0</v>
      </c>
      <c r="I48" s="9"/>
    </row>
    <row r="49" customFormat="false" ht="15" hidden="false" customHeight="false" outlineLevel="0" collapsed="false">
      <c r="A49" s="11" t="s">
        <v>56</v>
      </c>
      <c r="B49" s="16"/>
      <c r="C49" s="17"/>
      <c r="D49" s="17"/>
      <c r="E49" s="18"/>
      <c r="F49" s="15" t="n">
        <f aca="false">IF(AND(D49&lt;&gt;"",E49&lt;&gt;""),D49*E49,0)</f>
        <v>0</v>
      </c>
      <c r="G49" s="18"/>
      <c r="H49" s="15" t="n">
        <f aca="false">F49-G49</f>
        <v>0</v>
      </c>
      <c r="I49" s="16"/>
    </row>
    <row r="50" customFormat="false" ht="15" hidden="false" customHeight="false" outlineLevel="0" collapsed="false">
      <c r="A50" s="11" t="s">
        <v>57</v>
      </c>
      <c r="B50" s="16"/>
      <c r="C50" s="17"/>
      <c r="D50" s="17"/>
      <c r="E50" s="18"/>
      <c r="F50" s="15" t="n">
        <f aca="false">IF(AND(D50&lt;&gt;"",E50&lt;&gt;""),D50*E50,0)</f>
        <v>0</v>
      </c>
      <c r="G50" s="18"/>
      <c r="H50" s="15" t="n">
        <f aca="false">F50-G50</f>
        <v>0</v>
      </c>
      <c r="I50" s="16"/>
    </row>
    <row r="51" customFormat="false" ht="15" hidden="false" customHeight="false" outlineLevel="0" collapsed="false">
      <c r="A51" s="11" t="s">
        <v>58</v>
      </c>
      <c r="B51" s="16"/>
      <c r="C51" s="17"/>
      <c r="D51" s="17"/>
      <c r="E51" s="18"/>
      <c r="F51" s="15" t="n">
        <f aca="false">IF(AND(D51&lt;&gt;"",E51&lt;&gt;""),D51*E51,0)</f>
        <v>0</v>
      </c>
      <c r="G51" s="18"/>
      <c r="H51" s="15" t="n">
        <f aca="false">F51-G51</f>
        <v>0</v>
      </c>
      <c r="I51" s="16"/>
    </row>
    <row r="52" customFormat="false" ht="15" hidden="false" customHeight="false" outlineLevel="0" collapsed="false">
      <c r="A52" s="19"/>
      <c r="B52" s="20" t="s">
        <v>59</v>
      </c>
      <c r="C52" s="19"/>
      <c r="D52" s="19"/>
      <c r="E52" s="19"/>
      <c r="F52" s="21" t="n">
        <f aca="false">F12+F16+F20+F24+F28+F32+F36+F40+F44+F48</f>
        <v>5400000</v>
      </c>
      <c r="G52" s="21" t="n">
        <f aca="false">G12+G16+G20+G24+G28+G32+G36+G40+G44+G48</f>
        <v>5400000</v>
      </c>
      <c r="H52" s="21" t="n">
        <f aca="false">H12+H16+H20+H24+H28+H32+H36+H40+H44+H48</f>
        <v>0</v>
      </c>
      <c r="I52" s="19"/>
    </row>
    <row r="53" customFormat="false" ht="15" hidden="false" customHeight="false" outlineLevel="0" collapsed="false">
      <c r="B53" s="22" t="s">
        <v>60</v>
      </c>
      <c r="G53" s="23" t="n">
        <f aca="false">IF(F52&gt;0,G52/F52,0)</f>
        <v>1</v>
      </c>
    </row>
    <row r="56" customFormat="false" ht="15" hidden="false" customHeight="false" outlineLevel="0" collapsed="false">
      <c r="B56" s="24" t="s">
        <v>61</v>
      </c>
      <c r="E56" s="24" t="s">
        <v>62</v>
      </c>
      <c r="H56" s="24" t="s">
        <v>62</v>
      </c>
    </row>
    <row r="57" customFormat="false" ht="15" hidden="false" customHeight="false" outlineLevel="0" collapsed="false">
      <c r="B57" s="25" t="s">
        <v>63</v>
      </c>
      <c r="E57" s="25" t="s">
        <v>64</v>
      </c>
      <c r="H57" s="25" t="s">
        <v>65</v>
      </c>
    </row>
  </sheetData>
  <mergeCells count="9">
    <mergeCell ref="A4:B4"/>
    <mergeCell ref="C4:I4"/>
    <mergeCell ref="A5:B5"/>
    <mergeCell ref="C5:I5"/>
    <mergeCell ref="A6:B6"/>
    <mergeCell ref="C6:I6"/>
    <mergeCell ref="A7:B7"/>
    <mergeCell ref="C7:I7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2026-10-02T10:12:33Z</dcterms:created>
  <dc:creator>openpyxl</dc:creator>
  <dc:description/>
  <dc:language>en-US</dc:language>
  <cp:lastModifiedBy/>
  <dcterms:modified xsi:type="dcterms:W3CDTF">2026-10-02T10:12:33Z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